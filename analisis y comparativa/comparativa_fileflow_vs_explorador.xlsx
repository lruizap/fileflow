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f91b34c74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d1943a53ed64f7c"/>
    <x:sheet xmlns:r="http://schemas.openxmlformats.org/officeDocument/2006/relationships" name="Mediciones" sheetId="2" r:id="R94d3c72cb5d040e5"/>
    <x:sheet xmlns:r="http://schemas.openxmlformats.org/officeDocument/2006/relationships" name="Escenarios" sheetId="3" r:id="R27a995832b8e4f04"/>
    <x:sheet xmlns:r="http://schemas.openxmlformats.org/officeDocument/2006/relationships" name="Supuestos" sheetId="4" r:id="Refbe86e5e8a147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0"/>
    <x:numFmt numFmtId="202" formatCode="0"/>
    <x:numFmt numFmtId="203" formatCode="0.00"/>
  </x:numFmts>
  <x:fonts count="9">
    <x:font>
      <x:sz val="11"/>
      <x:name val="Carlito"/>
    </x:font>
    <x:font>
      <x:b/>
      <x:sz val="16"/>
      <x:color rgb="FFFFFF"/>
      <x:name val="Carlito"/>
    </x:font>
    <x:font>
      <x:b/>
      <x:sz val="11"/>
      <x:color rgb="1F2937"/>
      <x:name val="Carlito"/>
    </x:font>
    <x:font>
      <x:sz val="10"/>
      <x:color rgb="1F2937"/>
      <x:name val="Carlito"/>
    </x:font>
    <x:font>
      <x:b/>
      <x:sz val="11"/>
      <x:color rgb="B45309"/>
      <x:name val="Carlito"/>
    </x:font>
    <x:font>
      <x:b/>
      <x:sz val="16"/>
      <x:color rgb="1F2937"/>
      <x:name val="Aptos"/>
    </x:font>
    <x:font>
      <x:sz val="11"/>
      <x:color rgb="1F2937"/>
      <x:name val="Aptos"/>
    </x:font>
    <x:font>
      <x:b/>
      <x:sz val="11"/>
      <x:color rgb="1F2937"/>
      <x:name val="Aptos"/>
    </x:font>
    <x:font>
      <x:sz val="10"/>
      <x:color rgb="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1F3A5F"/>
      </x:patternFill>
    </x:fill>
    <x:fill>
      <x:patternFill patternType="solid">
        <x:fgColor rgb="D9EAF7"/>
      </x:patternFill>
    </x:fill>
    <x:fill>
      <x:patternFill patternType="solid">
        <x:fgColor rgb="FFFFFF"/>
      </x:patternFill>
    </x:fill>
    <x:fill>
      <x:patternFill patternType="solid">
        <x:fgColor rgb="EAF2F8"/>
      </x:patternFill>
    </x:fill>
    <x:fill>
      <x:patternFill patternType="solid">
        <x:fgColor rgb="E7F5EE"/>
      </x:patternFill>
    </x:fill>
    <x:fill>
      <x:patternFill patternType="solid">
        <x:fgColor rgb="FFF7ED"/>
      </x:patternFill>
    </x:fill>
  </x:fills>
  <x:borders count="1">
    <x:border/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202" fontId="2" fillId="5" borderId="0" xfId="0" applyNumberFormat="1" applyFont="1" applyFill="1" applyBorder="1"/>
    <x:xf numFmtId="203" fontId="3" fillId="4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0" fillId="4" borderId="0" xfId="0" applyNumberFormat="1" applyFont="1" applyFill="1" applyBorder="1"/>
    <x:xf numFmtId="203" fontId="3" fillId="4" borderId="0" xfId="0" applyNumberFormat="1" applyFont="1" applyFill="1" applyBorder="1"/>
    <x:xf numFmtId="203" fontId="3" fillId="4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4" borderId="0" xfId="0" applyNumberFormat="1" applyFont="1" applyFill="1" applyBorder="1"/>
    <x:xf numFmtId="202" fontId="3" fillId="4" borderId="0" xfId="0" applyNumberFormat="1" applyFont="1" applyFill="1" applyBorder="1"/>
    <x:xf numFmtId="202" fontId="3" fillId="4" borderId="0" xfId="0" applyNumberFormat="1" applyFont="1" applyFill="1" applyBorder="1" applyAlignment="1">
      <x:alignment wrapText="1"/>
    </x:xf>
    <x:xf numFmtId="202" fontId="3" fillId="4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203" fontId="8" fillId="4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202" fontId="8" fillId="4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 wrapText="1"/>
    </x:xf>
    <x:xf numFmtId="200" fontId="8" fillId="4" borderId="0" xfId="0" applyNumberFormat="1" applyFont="1" applyFill="1" applyBorder="1" applyAlignment="1">
      <x:alignment vertical="center" wrapText="1"/>
    </x:xf>
    <x:xf numFmtId="201" fontId="8" fillId="4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202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202" fontId="7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7fb6c9b0b45fe" /><Relationship Type="http://schemas.openxmlformats.org/officeDocument/2006/relationships/theme" Target="/xl/theme/theme1.xml" Id="R63ee7ee6b0f544d6" /><Relationship Type="http://schemas.openxmlformats.org/officeDocument/2006/relationships/sharedStrings" Target="/xl/sharedStrings.xml" Id="Ra8ff248d2f844307" /><Relationship Type="http://schemas.openxmlformats.org/officeDocument/2006/relationships/worksheet" Target="/xl/worksheets/sheet1.xml" Id="R4d1943a53ed64f7c" /><Relationship Type="http://schemas.openxmlformats.org/officeDocument/2006/relationships/worksheet" Target="/xl/worksheets/sheet2.xml" Id="R94d3c72cb5d040e5" /><Relationship Type="http://schemas.openxmlformats.org/officeDocument/2006/relationships/worksheet" Target="/xl/worksheets/sheet3.xml" Id="R27a995832b8e4f04" /><Relationship Type="http://schemas.openxmlformats.org/officeDocument/2006/relationships/worksheet" Target="/xl/worksheets/sheet4.xml" Id="Refbe86e5e8a147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beef0cce1148ae" /><Relationship Type="http://schemas.openxmlformats.org/officeDocument/2006/relationships/chart" Target="/xl/drawings/charts/chart2.xml" Id="Rb45514386a4f43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Tiempo estimado para mover 100 GiB entre volumenes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Minutos 100 GiB</c:v>
          </c:tx>
          <c:cat>
            <c:strRef>
              <c:f>'Resumen'!$M$3:$M$6</c:f>
              <c:strCache>
                <c:ptCount val="0"/>
              </c:strCache>
            </c:strRef>
          </c:cat>
          <c:val>
            <c:numRef>
              <c:f>'Resumen'!$N$3:$N$6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Rendimiento medido en pruebas reales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FileFlow MiB/s</c:v>
          </c:tx>
          <c:cat>
            <c:strRef>
              <c:f>'Resumen'!$M$10:$M$12</c:f>
              <c:strCache>
                <c:ptCount val="0"/>
              </c:strCache>
            </c:strRef>
          </c:cat>
          <c:val>
            <c:numRef>
              <c:f>'Resumen'!$N$10:$N$12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Windows MiB/s</c:v>
          </c:tx>
          <c:cat>
            <c:strRef>
              <c:f>'Resumen'!$M$10:$M$12</c:f>
              <c:strCache>
                <c:ptCount val="0"/>
              </c:strCache>
            </c:strRef>
          </c:cat>
          <c:val>
            <c:numRef>
              <c:f>'Resumen'!$O$10:$O$12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beef0cce1148ae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11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5514386a4f435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Mediciones" displayName="TablaMediciones" ref="A3:H11" headerRowCount="1">
  <x:tableColumns count="8">
    <x:tableColumn id="1" name="Prueba"/>
    <x:tableColumn id="2" name="Tipo"/>
    <x:tableColumn id="3" name="Tamano GiB"/>
    <x:tableColumn id="4" name="Herramienta"/>
    <x:tableColumn id="5" name="Proxy / comando"/>
    <x:tableColumn id="6" name="Tiempo s"/>
    <x:tableColumn id="7" name="MiB/s"/>
    <x:tableColumn id="8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TablaEscenarios100GiB" displayName="TablaEscenarios100GiB" ref="A5:F9" headerRowCount="1">
  <x:tableColumns count="6">
    <x:tableColumn id="1" name="Escenario"/>
    <x:tableColumn id="2" name="Familia"/>
    <x:tableColumn id="3" name="Velocidad MiB/s"/>
    <x:tableColumn id="4" name="Segundos estimados"/>
    <x:tableColumn id="5" name="Minutos estimados"/>
    <x:tableColumn id="6" name="Base"/>
  </x:tableColumns>
  <x:tableStyleInfo name="TableStyleMedium2" showRowStripes="1"/>
</x:table>
</file>

<file path=xl/tables/table3.xml><?xml version="1.0" encoding="utf-8"?>
<x:table xmlns:x="http://schemas.openxmlformats.org/spreadsheetml/2006/main" id="3" name="TablaDispositivos" displayName="TablaDispositivos" ref="H5:J10" headerRowCount="1">
  <x:tableColumns count="3">
    <x:tableColumn id="1" name="Dispositivo tipo"/>
    <x:tableColumn id="2" name="MiB/s"/>
    <x:tableColumn id="3" name="Minutos 100 GiB"/>
  </x:tableColumns>
  <x:tableStyleInfo name="TableStyleMedium2" showRowStripes="1"/>
</x:table>
</file>

<file path=xl/tables/table4.xml><?xml version="1.0" encoding="utf-8"?>
<x:table xmlns:x="http://schemas.openxmlformats.org/spreadsheetml/2006/main" id="4" name="TablaSupuestos" displayName="TablaSupuestos" ref="A3:B14" headerRowCount="1">
  <x:tableColumns count="2">
    <x:tableColumn id="1" name="Tema"/>
    <x:tableColumn id="2" name="Detal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6975e321ca41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48908fa47c44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869891d2384474" /><Relationship Type="http://schemas.openxmlformats.org/officeDocument/2006/relationships/table" Target="/xl/tables/table3.xml" Id="R6153ac70faa443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f9b56747d144f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99999618530273" hidden="0" customWidth="1"/>
    <x:col min="2" max="2" width="16.81999969482422" hidden="0" customWidth="1"/>
    <x:col min="3" max="3" width="16.81999969482422" hidden="0" customWidth="1"/>
    <x:col min="4" max="4" width="16.81999969482422" hidden="0" customWidth="1"/>
    <x:col min="5" max="5" width="4.710000038146973" hidden="0" customWidth="1"/>
    <x:col min="6" max="6" width="22.209999084472656" hidden="0" customWidth="1"/>
    <x:col min="7" max="7" width="16.81999969482422" hidden="0" customWidth="1"/>
    <x:col min="8" max="8" width="16.81999969482422" hidden="0" customWidth="1"/>
    <x:col min="9" max="9" width="16.81999969482422" hidden="0" customWidth="1"/>
    <x:col min="10" max="10" width="16.81999969482422" hidden="0" customWidth="1"/>
    <x:col min="11" max="11" width="16.81999969482422" hidden="0" customWidth="1"/>
    <x:col min="12" max="12" width="4.710000038146973" hidden="0" customWidth="1"/>
    <x:col min="13" max="13" width="20.860000610351562" hidden="0" customWidth="1"/>
    <x:col min="14" max="14" width="16.81999969482422" hidden="0" customWidth="1"/>
    <x:col min="15" max="15" width="16.81999969482422" hidden="0" customWidth="1"/>
  </x:cols>
  <x:sheetData>
    <x:row r="1">
      <x:c r="A1" s="37" t="str">
        <x:v>FileFlow vs Explorador de Windows - comparativa 100 GiB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45"/>
      <x:c r="M1" s="45"/>
      <x:c r="N1" s="45"/>
      <x:c r="O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39" t="str">
        <x:v>Escenario</x:v>
      </x:c>
      <x:c r="N2" s="39" t="str">
        <x:v>Minutos 100 GiB</x:v>
      </x:c>
      <x:c r="O2" s="45"/>
    </x:row>
    <x:row r="3">
      <x:c r="A3" s="39" t="str">
        <x:v>Indicador</x:v>
      </x:c>
      <x:c r="B3" s="39" t="str">
        <x:v>FileFlow</x:v>
      </x:c>
      <x:c r="C3" s="39" t="str">
        <x:v>Windows</x:v>
      </x:c>
      <x:c r="D3" s="39" t="str">
        <x:v>Lectura</x:v>
      </x:c>
      <x:c r="E3" s="45"/>
      <x:c r="F3" s="45"/>
      <x:c r="G3" s="45"/>
      <x:c r="H3" s="45"/>
      <x:c r="I3" s="45"/>
      <x:c r="J3" s="45"/>
      <x:c r="K3" s="45"/>
      <x:c r="L3" s="45"/>
      <x:c r="M3" s="40" t="str">
        <x:f>Escenarios!A6</x:f>
        <x:v>FileFlow - medicion 2 GiB</x:v>
      </x:c>
      <x:c r="N3" s="41" t="n">
        <x:f>Escenarios!E6</x:f>
        <x:v>1.0514858398537779</x:v>
      </x:c>
      <x:c r="O3" s="45"/>
    </x:row>
    <x:row r="4">
      <x:c r="A4" s="40" t="str">
        <x:v>Mismo volumen 100 GiB</x:v>
      </x:c>
      <x:c r="B4" s="41" t="n">
        <x:v>0.0252</x:v>
      </x:c>
      <x:c r="C4" s="41" t="n">
        <x:v>0.0163</x:v>
      </x:c>
      <x:c r="D4" s="40" t="str">
        <x:v>Ambos son instantaneos: rename/metadatos</x:v>
      </x:c>
      <x:c r="E4" s="45"/>
      <x:c r="F4" s="45"/>
      <x:c r="G4" s="45"/>
      <x:c r="H4" s="45"/>
      <x:c r="I4" s="45"/>
      <x:c r="J4" s="45"/>
      <x:c r="K4" s="45"/>
      <x:c r="L4" s="45"/>
      <x:c r="M4" s="40" t="str">
        <x:f>Escenarios!A7</x:f>
        <x:v>FileFlow - medicion 4 GiB</x:v>
      </x:c>
      <x:c r="N4" s="41" t="n">
        <x:f>Escenarios!E7</x:f>
        <x:v>1.6001000062503907</x:v>
      </x:c>
      <x:c r="O4" s="45"/>
    </x:row>
    <x:row r="5">
      <x:c r="A5" s="40" t="str">
        <x:v>Entre volumenes, mejor muestra</x:v>
      </x:c>
      <x:c r="B5" s="41" t="n">
        <x:f>Escenarios!E6</x:f>
        <x:v>1.0514858398537779</x:v>
      </x:c>
      <x:c r="C5" s="41" t="n">
        <x:f>Escenarios!E8</x:f>
        <x:v>2.229770925877537</x:v>
      </x:c>
      <x:c r="D5" s="40" t="str">
        <x:v>FileFlow 2 GiB vs Shell 2 GiB</x:v>
      </x:c>
      <x:c r="E5" s="45"/>
      <x:c r="F5" s="45"/>
      <x:c r="G5" s="45"/>
      <x:c r="H5" s="45"/>
      <x:c r="I5" s="45"/>
      <x:c r="J5" s="45"/>
      <x:c r="K5" s="45"/>
      <x:c r="L5" s="45"/>
      <x:c r="M5" s="40" t="str">
        <x:f>Escenarios!A8</x:f>
        <x:v>Windows Shell - medicion 2 GiB</x:v>
      </x:c>
      <x:c r="N5" s="41" t="n">
        <x:f>Escenarios!E8</x:f>
        <x:v>2.229770925877537</x:v>
      </x:c>
      <x:c r="O5" s="45"/>
    </x:row>
    <x:row r="6">
      <x:c r="A6" s="40" t="str">
        <x:v>Entre volumenes, muestra estable</x:v>
      </x:c>
      <x:c r="B6" s="41" t="n">
        <x:f>Escenarios!E7</x:f>
        <x:v>1.6001000062503907</x:v>
      </x:c>
      <x:c r="C6" s="41" t="n">
        <x:f>Escenarios!E9</x:f>
        <x:v>3.864734299516908</x:v>
      </x:c>
      <x:c r="D6" s="40" t="str">
        <x:v>FileFlow 4 GiB vs Windows 4 GiB</x:v>
      </x:c>
      <x:c r="E6" s="45"/>
      <x:c r="F6" s="45"/>
      <x:c r="G6" s="45"/>
      <x:c r="H6" s="45"/>
      <x:c r="I6" s="45"/>
      <x:c r="J6" s="45"/>
      <x:c r="K6" s="45"/>
      <x:c r="L6" s="45"/>
      <x:c r="M6" s="40" t="str">
        <x:f>Escenarios!A9</x:f>
        <x:v>Windows Move-Item - medicion 4 GiB</x:v>
      </x:c>
      <x:c r="N6" s="41" t="n">
        <x:f>Escenarios!E9</x:f>
        <x:v>3.864734299516908</x:v>
      </x:c>
      <x:c r="O6" s="45"/>
    </x:row>
    <x:row r="7">
      <x:c r="A7" s="40" t="str">
        <x:v>Rango recomendado 100 GiB</x:v>
      </x:c>
      <x:c r="B7" s="41"/>
      <x:c r="C7" s="41"/>
      <x:c r="D7" s="40" t="str">
        <x:v>FileFlow 1,0-1,6 min; Windows 2-4 min</x:v>
      </x:c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</x:row>
    <x:row r="9">
      <x:c r="A9" s="42" t="str">
        <x:v>Conclusion</x:v>
      </x:c>
      <x:c r="B9" s="42" t="str">
        <x:v>Situacion</x:v>
      </x:c>
      <x:c r="C9" s="42" t="str">
        <x:v>Ganador practico</x:v>
      </x:c>
      <x:c r="D9" s="42" t="str">
        <x:v>Motivo</x:v>
      </x:c>
      <x:c r="E9" s="45"/>
      <x:c r="F9" s="45"/>
      <x:c r="G9" s="45"/>
      <x:c r="H9" s="45"/>
      <x:c r="I9" s="45"/>
      <x:c r="J9" s="45"/>
      <x:c r="K9" s="45"/>
      <x:c r="L9" s="45"/>
      <x:c r="M9" s="39" t="str">
        <x:v>Prueba</x:v>
      </x:c>
      <x:c r="N9" s="39" t="str">
        <x:v>FileFlow MiB/s</x:v>
      </x:c>
      <x:c r="O9" s="39" t="str">
        <x:v>Windows MiB/s</x:v>
      </x:c>
    </x:row>
    <x:row r="10">
      <x:c r="A10" s="40" t="str">
        <x:v>Movimiento local</x:v>
      </x:c>
      <x:c r="B10" s="40" t="str">
        <x:v>Mismo volumen</x:v>
      </x:c>
      <x:c r="C10" s="40" t="str">
        <x:v>Empate tecnico</x:v>
      </x:c>
      <x:c r="D10" s="40" t="str">
        <x:v>No hay copia fisica del archivo</x:v>
      </x:c>
      <x:c r="E10" s="45"/>
      <x:c r="F10" s="45"/>
      <x:c r="G10" s="45"/>
      <x:c r="H10" s="45"/>
      <x:c r="I10" s="45"/>
      <x:c r="J10" s="45"/>
      <x:c r="K10" s="45"/>
      <x:c r="L10" s="45"/>
      <x:c r="M10" s="40" t="str">
        <x:v>1 GiB</x:v>
      </x:c>
      <x:c r="N10" s="43" t="n">
        <x:v>1450.4</x:v>
      </x:c>
      <x:c r="O10" s="43" t="n">
        <x:v>1853.4</x:v>
      </x:c>
    </x:row>
    <x:row r="11">
      <x:c r="A11" s="40" t="str">
        <x:v>Movimiento real grande</x:v>
      </x:c>
      <x:c r="B11" s="40" t="str">
        <x:v>Distinto volumen</x:v>
      </x:c>
      <x:c r="C11" s="40" t="str">
        <x:v>FileFlow en pruebas locales</x:v>
      </x:c>
      <x:c r="D11" s="40" t="str">
        <x:v>Copia directa por bloques y menos overhead de UI</x:v>
      </x:c>
      <x:c r="E11" s="45"/>
      <x:c r="F11" s="45"/>
      <x:c r="G11" s="45"/>
      <x:c r="H11" s="45"/>
      <x:c r="I11" s="45"/>
      <x:c r="J11" s="45"/>
      <x:c r="K11" s="45"/>
      <x:c r="L11" s="45"/>
      <x:c r="M11" s="40" t="str">
        <x:v>2 GiB</x:v>
      </x:c>
      <x:c r="N11" s="43" t="n">
        <x:v>1623.1</x:v>
      </x:c>
      <x:c r="O11" s="43" t="n">
        <x:v>765.4</x:v>
      </x:c>
    </x:row>
    <x:row r="12">
      <x:c r="A12" s="40" t="str">
        <x:v>Hardware lento</x:v>
      </x:c>
      <x:c r="B12" s="40" t="str">
        <x:v>USB/HDD</x:v>
      </x:c>
      <x:c r="C12" s="40" t="str">
        <x:v>Depende del dispositivo</x:v>
      </x:c>
      <x:c r="D12" s="40" t="str">
        <x:v>La velocidad sostenida del destino domina</x:v>
      </x:c>
      <x:c r="E12" s="45"/>
      <x:c r="F12" s="45"/>
      <x:c r="G12" s="45"/>
      <x:c r="H12" s="45"/>
      <x:c r="I12" s="45"/>
      <x:c r="J12" s="45"/>
      <x:c r="K12" s="45"/>
      <x:c r="L12" s="45"/>
      <x:c r="M12" s="40" t="str">
        <x:v>4 GiB</x:v>
      </x:c>
      <x:c r="N12" s="43" t="n">
        <x:v>1066.6</x:v>
      </x:c>
      <x:c r="O12" s="43" t="n">
        <x:v>441.6</x:v>
      </x:c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</x:row>
    <x:row r="15">
      <x:c r="A15" s="46" t="str">
        <x:v>Nota: los graficos comparan estimaciones y pruebas locales. El Explorador exacto se aproxima con la capa Shell de Windows porque la UI no es un benchmark reproducible.</x:v>
      </x:c>
      <x:c r="B15" s="46"/>
      <x:c r="C15" s="46"/>
      <x:c r="D15" s="46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</x:row>
  </x:sheetData>
  <x:mergeCells>
    <x:mergeCell ref="A1:K1"/>
    <x:mergeCell ref="A15:D15"/>
  </x:mergeCells>
  <x:pageMargins left="0.7" right="0.7" top="0.75" bottom="0.75" header="0.3" footer="0.3"/>
  <x:drawing xmlns:r="http://schemas.openxmlformats.org/officeDocument/2006/relationships" r:id="R6c6975e321ca411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299991607666" hidden="0" customWidth="1"/>
    <x:col min="2" max="2" width="15.479999542236328" hidden="0" customWidth="1"/>
    <x:col min="3" max="3" width="11.4399995803833" hidden="0" customWidth="1"/>
    <x:col min="4" max="4" width="13.460000038146973" hidden="0" customWidth="1"/>
    <x:col min="5" max="5" width="22.209999084472656" hidden="0" customWidth="1"/>
    <x:col min="6" max="6" width="12.109999656677246" hidden="0" customWidth="1"/>
    <x:col min="7" max="7" width="16.81999969482422" hidden="0" customWidth="1"/>
    <x:col min="8" max="8" width="34.31999969482422" hidden="0" customWidth="1"/>
  </x:cols>
  <x:sheetData>
    <x:row r="1">
      <x:c r="A1" s="37" t="str">
        <x:v>Mediciones base</x:v>
      </x:c>
      <x:c r="B1" s="37"/>
      <x:c r="C1" s="37"/>
      <x:c r="D1" s="37"/>
      <x:c r="E1" s="37"/>
      <x:c r="F1" s="37"/>
      <x:c r="G1" s="37"/>
      <x:c r="H1" s="37"/>
    </x:row>
    <x:row r="2">
      <x:c r="A2" s="45"/>
      <x:c r="B2" s="45"/>
      <x:c r="C2" s="45"/>
      <x:c r="D2" s="45"/>
      <x:c r="E2" s="45"/>
      <x:c r="F2" s="45"/>
      <x:c r="G2" s="45"/>
      <x:c r="H2" s="45"/>
    </x:row>
    <x:row r="3">
      <x:c r="A3" s="39" t="str">
        <x:v>Prueba</x:v>
      </x:c>
      <x:c r="B3" s="39" t="str">
        <x:v>Tipo</x:v>
      </x:c>
      <x:c r="C3" s="39" t="str">
        <x:v>Tamano GiB</x:v>
      </x:c>
      <x:c r="D3" s="39" t="str">
        <x:v>Herramienta</x:v>
      </x:c>
      <x:c r="E3" s="39" t="str">
        <x:v>Proxy / comando</x:v>
      </x:c>
      <x:c r="F3" s="39" t="str">
        <x:v>Tiempo s</x:v>
      </x:c>
      <x:c r="G3" s="39" t="str">
        <x:v>MiB/s</x:v>
      </x:c>
      <x:c r="H3" s="39" t="str">
        <x:v>Notas</x:v>
      </x:c>
    </x:row>
    <x:row r="4">
      <x:c r="A4" s="40" t="str">
        <x:v>Mismo volumen 100 GiB sparse</x:v>
      </x:c>
      <x:c r="B4" s="40" t="str">
        <x:v>Same volume</x:v>
      </x:c>
      <x:c r="C4" s="47" t="n">
        <x:v>100</x:v>
      </x:c>
      <x:c r="D4" s="40" t="str">
        <x:v>FileFlow</x:v>
      </x:c>
      <x:c r="E4" s="40" t="str">
        <x:v>fileflow-cli move</x:v>
      </x:c>
      <x:c r="F4" s="48" t="n">
        <x:v>0.0252</x:v>
      </x:c>
      <x:c r="G4" s="47"/>
      <x:c r="H4" s="40" t="str">
        <x:v>Rename directo; no copia datos</x:v>
      </x:c>
    </x:row>
    <x:row r="5">
      <x:c r="A5" s="40" t="str">
        <x:v>Mismo volumen 100 GiB sparse</x:v>
      </x:c>
      <x:c r="B5" s="40" t="str">
        <x:v>Same volume</x:v>
      </x:c>
      <x:c r="C5" s="47" t="n">
        <x:v>100</x:v>
      </x:c>
      <x:c r="D5" s="40" t="str">
        <x:v>Windows</x:v>
      </x:c>
      <x:c r="E5" s="40" t="str">
        <x:v>Movimiento nativo</x:v>
      </x:c>
      <x:c r="F5" s="48" t="n">
        <x:v>0.0163</x:v>
      </x:c>
      <x:c r="G5" s="47"/>
      <x:c r="H5" s="40" t="str">
        <x:v>Proxy nativo de movimiento por metadatos</x:v>
      </x:c>
    </x:row>
    <x:row r="6">
      <x:c r="A6" s="40" t="str">
        <x:v>C: -&gt; G: 1 GiB real</x:v>
      </x:c>
      <x:c r="B6" s="40" t="str">
        <x:v>Cross volume</x:v>
      </x:c>
      <x:c r="C6" s="47" t="n">
        <x:v>1</x:v>
      </x:c>
      <x:c r="D6" s="40" t="str">
        <x:v>FileFlow</x:v>
      </x:c>
      <x:c r="E6" s="40" t="str">
        <x:v>fileflow-cli move</x:v>
      </x:c>
      <x:c r="F6" s="48" t="n">
        <x:v>0.706</x:v>
      </x:c>
      <x:c r="G6" s="47" t="n">
        <x:v>1450.4</x:v>
      </x:c>
      <x:c r="H6" s="40" t="str">
        <x:v>Prueba pequena, sensible a cache</x:v>
      </x:c>
    </x:row>
    <x:row r="7">
      <x:c r="A7" s="40" t="str">
        <x:v>C: -&gt; G: 1 GiB real</x:v>
      </x:c>
      <x:c r="B7" s="40" t="str">
        <x:v>Cross volume</x:v>
      </x:c>
      <x:c r="C7" s="47" t="n">
        <x:v>1</x:v>
      </x:c>
      <x:c r="D7" s="40" t="str">
        <x:v>Windows</x:v>
      </x:c>
      <x:c r="E7" s="40" t="str">
        <x:v>Move-Item</x:v>
      </x:c>
      <x:c r="F7" s="48" t="n">
        <x:v>0.552</x:v>
      </x:c>
      <x:c r="G7" s="47" t="n">
        <x:v>1853.4</x:v>
      </x:c>
      <x:c r="H7" s="40" t="str">
        <x:v>Referencia nativa PowerShell</x:v>
      </x:c>
    </x:row>
    <x:row r="8">
      <x:c r="A8" s="40" t="str">
        <x:v>C: -&gt; G: 2 GiB real</x:v>
      </x:c>
      <x:c r="B8" s="40" t="str">
        <x:v>Cross volume</x:v>
      </x:c>
      <x:c r="C8" s="47" t="n">
        <x:v>2</x:v>
      </x:c>
      <x:c r="D8" s="40" t="str">
        <x:v>FileFlow</x:v>
      </x:c>
      <x:c r="E8" s="40" t="str">
        <x:v>fileflow-cli move</x:v>
      </x:c>
      <x:c r="F8" s="48" t="n">
        <x:v>1.262</x:v>
      </x:c>
      <x:c r="G8" s="47" t="n">
        <x:v>1623.1</x:v>
      </x:c>
      <x:c r="H8" s="40" t="str">
        <x:v>Comparada con Shell.Application</x:v>
      </x:c>
    </x:row>
    <x:row r="9">
      <x:c r="A9" s="40" t="str">
        <x:v>C: -&gt; G: 2 GiB real</x:v>
      </x:c>
      <x:c r="B9" s="40" t="str">
        <x:v>Cross volume</x:v>
      </x:c>
      <x:c r="C9" s="47" t="n">
        <x:v>2</x:v>
      </x:c>
      <x:c r="D9" s="40" t="str">
        <x:v>Windows</x:v>
      </x:c>
      <x:c r="E9" s="40" t="str">
        <x:v>Shell.Application.MoveHere</x:v>
      </x:c>
      <x:c r="F9" s="48" t="n">
        <x:v>2.676</x:v>
      </x:c>
      <x:c r="G9" s="47" t="n">
        <x:v>765.4</x:v>
      </x:c>
      <x:c r="H9" s="40" t="str">
        <x:v>Proxy mas cercano al Explorador</x:v>
      </x:c>
    </x:row>
    <x:row r="10">
      <x:c r="A10" s="40" t="str">
        <x:v>C: -&gt; G: 4 GiB real</x:v>
      </x:c>
      <x:c r="B10" s="40" t="str">
        <x:v>Cross volume</x:v>
      </x:c>
      <x:c r="C10" s="47" t="n">
        <x:v>4</x:v>
      </x:c>
      <x:c r="D10" s="40" t="str">
        <x:v>FileFlow</x:v>
      </x:c>
      <x:c r="E10" s="40" t="str">
        <x:v>fileflow-cli move</x:v>
      </x:c>
      <x:c r="F10" s="48" t="n">
        <x:v>3.84</x:v>
      </x:c>
      <x:c r="G10" s="47" t="n">
        <x:v>1066.6</x:v>
      </x:c>
      <x:c r="H10" s="40" t="str">
        <x:v>Prueba mas estable para extrapolar</x:v>
      </x:c>
    </x:row>
    <x:row r="11">
      <x:c r="A11" s="40" t="str">
        <x:v>C: -&gt; G: 4 GiB real</x:v>
      </x:c>
      <x:c r="B11" s="40" t="str">
        <x:v>Cross volume</x:v>
      </x:c>
      <x:c r="C11" s="47" t="n">
        <x:v>4</x:v>
      </x:c>
      <x:c r="D11" s="40" t="str">
        <x:v>Windows</x:v>
      </x:c>
      <x:c r="E11" s="40" t="str">
        <x:v>Move-Item</x:v>
      </x:c>
      <x:c r="F11" s="48" t="n">
        <x:v>9.275</x:v>
      </x:c>
      <x:c r="G11" s="47" t="n">
        <x:v>441.6</x:v>
      </x:c>
      <x:c r="H11" s="40" t="str">
        <x:v>Referencia nativa PowerShell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648908fa47c44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14.130000114440918" hidden="0" customWidth="1"/>
    <x:col min="3" max="3" width="16.81999969482422" hidden="0" customWidth="1"/>
    <x:col min="4" max="4" width="16.81999969482422" hidden="0" customWidth="1"/>
    <x:col min="5" max="5" width="14.130000114440918" hidden="0" customWidth="1"/>
    <x:col min="6" max="6" width="37.0099983215332" hidden="0" customWidth="1"/>
    <x:col min="7" max="7" width="4.710000038146973" hidden="0" customWidth="1"/>
    <x:col min="8" max="8" width="20.860000610351562" hidden="0" customWidth="1"/>
    <x:col min="9" max="9" width="15.479999542236328" hidden="0" customWidth="1"/>
    <x:col min="10" max="10" width="14.130000114440918" hidden="0" customWidth="1"/>
  </x:cols>
  <x:sheetData>
    <x:row r="1">
      <x:c r="A1" s="37" t="str">
        <x:v>Escenarios extrapolados para 100 GiB</x:v>
      </x:c>
      <x:c r="B1" s="37"/>
      <x:c r="C1" s="37"/>
      <x:c r="D1" s="37"/>
      <x:c r="E1" s="37"/>
      <x:c r="F1" s="37"/>
      <x:c r="G1" s="45"/>
      <x:c r="H1" s="45"/>
      <x:c r="I1" s="45"/>
      <x:c r="J1" s="45"/>
    </x:row>
    <x:row r="2">
      <x:c r="A2" s="45"/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51" t="str">
        <x:v>Tamano objetivo (GiB)</x:v>
      </x:c>
      <x:c r="B3" s="52" t="n">
        <x:v>100</x:v>
      </x:c>
      <x:c r="C3" s="45"/>
      <x:c r="D3" s="45"/>
      <x:c r="E3" s="45"/>
      <x:c r="F3" s="45"/>
      <x:c r="G3" s="45"/>
      <x:c r="H3" s="45"/>
      <x:c r="I3" s="45"/>
      <x:c r="J3" s="45"/>
    </x:row>
    <x:row r="4">
      <x:c r="A4" s="45"/>
      <x:c r="B4" s="45"/>
      <x:c r="C4" s="45"/>
      <x:c r="D4" s="45"/>
      <x:c r="E4" s="45"/>
      <x:c r="F4" s="45"/>
      <x:c r="G4" s="45"/>
      <x:c r="H4" s="45"/>
      <x:c r="I4" s="45"/>
      <x:c r="J4" s="45"/>
    </x:row>
    <x:row r="5">
      <x:c r="A5" s="39" t="str">
        <x:v>Escenario</x:v>
      </x:c>
      <x:c r="B5" s="39" t="str">
        <x:v>Familia</x:v>
      </x:c>
      <x:c r="C5" s="39" t="str">
        <x:v>Velocidad MiB/s</x:v>
      </x:c>
      <x:c r="D5" s="39" t="str">
        <x:v>Segundos estimados</x:v>
      </x:c>
      <x:c r="E5" s="39" t="str">
        <x:v>Minutos estimados</x:v>
      </x:c>
      <x:c r="F5" s="39" t="str">
        <x:v>Base</x:v>
      </x:c>
      <x:c r="G5" s="45"/>
      <x:c r="H5" s="42" t="str">
        <x:v>Dispositivo tipo</x:v>
      </x:c>
      <x:c r="I5" s="42" t="str">
        <x:v>MiB/s</x:v>
      </x:c>
      <x:c r="J5" s="42" t="str">
        <x:v>Minutos 100 GiB</x:v>
      </x:c>
    </x:row>
    <x:row r="6">
      <x:c r="A6" s="40" t="str">
        <x:v>FileFlow - medicion 2 GiB</x:v>
      </x:c>
      <x:c r="B6" s="40" t="str">
        <x:v>FileFlow</x:v>
      </x:c>
      <x:c r="C6" s="41" t="n">
        <x:v>1623.1</x:v>
      </x:c>
      <x:c r="D6" s="41" t="n">
        <x:f>($B$3*1024)/C6</x:f>
        <x:v>63.08915039122667</x:v>
      </x:c>
      <x:c r="E6" s="41" t="n">
        <x:f>D6/60</x:f>
        <x:v>1.0514858398537779</x:v>
      </x:c>
      <x:c r="F6" s="40" t="str">
        <x:v>Medicion real 2 GiB C: -&gt; G:</x:v>
      </x:c>
      <x:c r="G6" s="45"/>
      <x:c r="H6" s="40" t="str">
        <x:v>USB/HDD lento</x:v>
      </x:c>
      <x:c r="I6" s="41" t="n">
        <x:v>100</x:v>
      </x:c>
      <x:c r="J6" s="41" t="n">
        <x:f>($B$3*1024)/I6/60</x:f>
        <x:v>17.066666666666666</x:v>
      </x:c>
    </x:row>
    <x:row r="7">
      <x:c r="A7" s="40" t="str">
        <x:v>FileFlow - medicion 4 GiB</x:v>
      </x:c>
      <x:c r="B7" s="40" t="str">
        <x:v>FileFlow</x:v>
      </x:c>
      <x:c r="C7" s="41" t="n">
        <x:v>1066.6</x:v>
      </x:c>
      <x:c r="D7" s="41" t="n">
        <x:f>($B$3*1024)/C7</x:f>
        <x:v>96.00600037502345</x:v>
      </x:c>
      <x:c r="E7" s="41" t="n">
        <x:f>D7/60</x:f>
        <x:v>1.6001000062503907</x:v>
      </x:c>
      <x:c r="F7" s="40" t="str">
        <x:v>Medicion real 4 GiB C: -&gt; G:</x:v>
      </x:c>
      <x:c r="G7" s="45"/>
      <x:c r="H7" s="40" t="str">
        <x:v>USB/SSD basico</x:v>
      </x:c>
      <x:c r="I7" s="41" t="n">
        <x:v>200</x:v>
      </x:c>
      <x:c r="J7" s="41" t="n">
        <x:f>($B$3*1024)/I7/60</x:f>
        <x:v>8.533333333333333</x:v>
      </x:c>
    </x:row>
    <x:row r="8">
      <x:c r="A8" s="40" t="str">
        <x:v>Windows Shell - medicion 2 GiB</x:v>
      </x:c>
      <x:c r="B8" s="40" t="str">
        <x:v>Windows</x:v>
      </x:c>
      <x:c r="C8" s="41" t="n">
        <x:v>765.4</x:v>
      </x:c>
      <x:c r="D8" s="41" t="n">
        <x:f>($B$3*1024)/C8</x:f>
        <x:v>133.78625555265222</x:v>
      </x:c>
      <x:c r="E8" s="41" t="n">
        <x:f>D8/60</x:f>
        <x:v>2.229770925877537</x:v>
      </x:c>
      <x:c r="F8" s="40" t="str">
        <x:v>Proxy Explorador: Shell.Application.MoveHere</x:v>
      </x:c>
      <x:c r="G8" s="45"/>
      <x:c r="H8" s="40" t="str">
        <x:v>SSD SATA rapido</x:v>
      </x:c>
      <x:c r="I8" s="41" t="n">
        <x:v>500</x:v>
      </x:c>
      <x:c r="J8" s="41" t="n">
        <x:f>($B$3*1024)/I8/60</x:f>
        <x:v>3.4133333333333336</x:v>
      </x:c>
    </x:row>
    <x:row r="9">
      <x:c r="A9" s="40" t="str">
        <x:v>Windows Move-Item - medicion 4 GiB</x:v>
      </x:c>
      <x:c r="B9" s="40" t="str">
        <x:v>Windows</x:v>
      </x:c>
      <x:c r="C9" s="41" t="n">
        <x:v>441.6</x:v>
      </x:c>
      <x:c r="D9" s="41" t="n">
        <x:f>($B$3*1024)/C9</x:f>
        <x:v>231.88405797101447</x:v>
      </x:c>
      <x:c r="E9" s="41" t="n">
        <x:f>D9/60</x:f>
        <x:v>3.864734299516908</x:v>
      </x:c>
      <x:c r="F9" s="40" t="str">
        <x:v>Proxy nativo PowerShell</x:v>
      </x:c>
      <x:c r="G9" s="45"/>
      <x:c r="H9" s="40" t="str">
        <x:v>NVMe / bus rapido</x:v>
      </x:c>
      <x:c r="I9" s="41" t="n">
        <x:v>1000</x:v>
      </x:c>
      <x:c r="J9" s="41" t="n">
        <x:f>($B$3*1024)/I9/60</x:f>
        <x:v>1.7066666666666668</x:v>
      </x:c>
    </x:row>
    <x:row r="10">
      <x:c r="A10" s="45"/>
      <x:c r="B10" s="45"/>
      <x:c r="C10" s="45"/>
      <x:c r="D10" s="45"/>
      <x:c r="E10" s="45"/>
      <x:c r="F10" s="45"/>
      <x:c r="G10" s="45"/>
      <x:c r="H10" s="40" t="str">
        <x:v>NVMe alto rendimiento</x:v>
      </x:c>
      <x:c r="I10" s="41" t="n">
        <x:v>1500</x:v>
      </x:c>
      <x:c r="J10" s="41" t="n">
        <x:f>($B$3*1024)/I10/60</x:f>
        <x:v>1.1377777777777778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6c869891d2384474"/>
    <x:tablePart xmlns:r="http://schemas.openxmlformats.org/officeDocument/2006/relationships" r:id="R6153ac70faa443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85.45999908447266" hidden="0" customWidth="1"/>
  </x:cols>
  <x:sheetData>
    <x:row r="1">
      <x:c r="A1" s="37" t="str">
        <x:v>Supuestos, limites y referencias internas</x:v>
      </x:c>
      <x:c r="B1" s="37"/>
    </x:row>
    <x:row r="2">
      <x:c r="A2" s="45"/>
      <x:c r="B2" s="45"/>
    </x:row>
    <x:row r="3">
      <x:c r="A3" s="39" t="str">
        <x:v>Tema</x:v>
      </x:c>
      <x:c r="B3" s="39" t="str">
        <x:v>Detalle</x:v>
      </x:c>
    </x:row>
    <x:row r="4">
      <x:c r="A4" s="40" t="str">
        <x:v>Unidad de calculo</x:v>
      </x:c>
      <x:c r="B4" s="40" t="str">
        <x:v>El workbook usa 100 GiB = 102400 MiB. En lenguaje comercial puede llamarse 100 GB, pero tecnicamente no es identico a 100 GB decimal.</x:v>
      </x:c>
    </x:row>
    <x:row r="5">
      <x:c r="A5" s="40" t="str">
        <x:v>Mismo volumen</x:v>
      </x:c>
      <x:c r="B5" s="40" t="str">
        <x:v>FileFlow y Windows usan movimiento por metadatos cuando es posible; el tamano del archivo apenas afecta.</x:v>
      </x:c>
    </x:row>
    <x:row r="6">
      <x:c r="A6" s="40" t="str">
        <x:v>Distinto volumen</x:v>
      </x:c>
      <x:c r="B6" s="40" t="str">
        <x:v>Cuando el destino esta en otro volumen, FileFlow cae a copy + delete, igual que cualquier movimiento real entre discos.</x:v>
      </x:c>
    </x:row>
    <x:row r="7">
      <x:c r="A7" s="40" t="str">
        <x:v>Proxy Explorador</x:v>
      </x:c>
      <x:c r="B7" s="40" t="str">
        <x:v>Shell.Application.MoveHere se considera el proxy mas cercano al Explorador de archivos porque usa la capa Shell.</x:v>
      </x:c>
    </x:row>
    <x:row r="8">
      <x:c r="A8" s="40" t="str">
        <x:v>Limitacion</x:v>
      </x:c>
      <x:c r="B8" s="40" t="str">
        <x:v>No se ejecuto una copia real de 100 GiB para evitar consumo innecesario de disco y desgaste; se extrapolo desde 1, 2 y 4 GiB reales.</x:v>
      </x:c>
    </x:row>
    <x:row r="9">
      <x:c r="A9" s="40" t="str">
        <x:v>Cache</x:v>
      </x:c>
      <x:c r="B9" s="40" t="str">
        <x:v>Windows puede cachear escrituras y hacer que pruebas pequenas sean optimistas.</x:v>
      </x:c>
    </x:row>
    <x:row r="10">
      <x:c r="A10" s="40" t="str">
        <x:v>Antivirus</x:v>
      </x:c>
      <x:c r="B10" s="40" t="str">
        <x:v>Microsoft Defender u otro antivirus puede cambiar los tiempos.</x:v>
      </x:c>
    </x:row>
    <x:row r="11">
      <x:c r="A11" s="40" t="str">
        <x:v>Codigo FileFlow</x:v>
      </x:c>
      <x:c r="B11" s="40" t="str">
        <x:v>move_file.rs: intenta fs::rename y si falla usa copy_file_optimized + remove_file.</x:v>
      </x:c>
    </x:row>
    <x:row r="12">
      <x:c r="A12" s="40" t="str">
        <x:v>Buffer FileFlow</x:v>
      </x:c>
      <x:c r="B12" s="40" t="str">
        <x:v>helpers.rs: COPY_BUFFER_SIZE = 8 MiB; progreso cada 64 MiB.</x:v>
      </x:c>
    </x:row>
    <x:row r="13">
      <x:c r="A13" s="40" t="str">
        <x:v>Recomendacion</x:v>
      </x:c>
      <x:c r="B13" s="40" t="str">
        <x:v>Para una validacion final, repetir con 100 GiB reales, 3 iteraciones y usar mediana.</x:v>
      </x:c>
    </x:row>
    <x:row r="14">
      <x:c r="A14" s="40" t="str">
        <x:v>Carpeta del informe</x:v>
      </x:c>
      <x:c r="B14" s="40" t="str">
        <x:v>analisis y comparativa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bf9b56747d144f26"/>
  </x:tableParts>
</x:worksheet>
</file>